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mmary" sheetId="1" r:id="rId5"/>
    <sheet state="visible" name="Drew" sheetId="2" r:id="rId6"/>
    <sheet state="visible" name="Bob" sheetId="3" r:id="rId7"/>
    <sheet state="visible" name="Curran" sheetId="4" r:id="rId8"/>
    <sheet state="visible" name="Sully" sheetId="5" r:id="rId9"/>
    <sheet state="visible" name="Ray" sheetId="6" r:id="rId10"/>
    <sheet state="visible" name="Maher" sheetId="7" r:id="rId11"/>
    <sheet state="visible" name="Shaw" sheetId="8" r:id="rId12"/>
    <sheet state="visible" name="Chang" sheetId="9" r:id="rId13"/>
    <sheet state="visible" name="Coady" sheetId="10" r:id="rId14"/>
    <sheet state="visible" name="Hugh" sheetId="11" r:id="rId15"/>
    <sheet state="visible" name="Roy" sheetId="12" r:id="rId16"/>
    <sheet state="visible" name="Pa" sheetId="13" r:id="rId17"/>
    <sheet state="visible" name="Hanley" sheetId="14" r:id="rId18"/>
  </sheets>
  <definedNames>
    <definedName name="_xlfn.FIELDVALUE">#NAME?</definedName>
  </definedNames>
  <calcPr/>
  <extLst>
    <ext uri="GoogleSheetsCustomDataVersion1">
      <go:sheetsCustomData xmlns:go="http://customooxmlschemas.google.com/" r:id="rId19" roundtripDataSignature="AMtx7mip8xLmDGzVlZGguTmthvq1uf9ipA=="/>
    </ext>
  </extLst>
</workbook>
</file>

<file path=xl/sharedStrings.xml><?xml version="1.0" encoding="utf-8"?>
<sst xmlns="http://schemas.openxmlformats.org/spreadsheetml/2006/main" count="5639" uniqueCount="199">
  <si>
    <t>Group A</t>
  </si>
  <si>
    <t>Round  of 16</t>
  </si>
  <si>
    <t>Quarter</t>
  </si>
  <si>
    <t>Semi</t>
  </si>
  <si>
    <t>Win +2</t>
  </si>
  <si>
    <t>Win</t>
  </si>
  <si>
    <t>Draw</t>
  </si>
  <si>
    <t>Table</t>
  </si>
  <si>
    <t>Game 49</t>
  </si>
  <si>
    <t>Name</t>
  </si>
  <si>
    <t>Andrew</t>
  </si>
  <si>
    <t>Qatar</t>
  </si>
  <si>
    <t>X</t>
  </si>
  <si>
    <t>Ecuador</t>
  </si>
  <si>
    <t>Winner</t>
  </si>
  <si>
    <t>Netherlands</t>
  </si>
  <si>
    <t>Winner GA</t>
  </si>
  <si>
    <t>Runner up GB</t>
  </si>
  <si>
    <t>GNI  Contact</t>
  </si>
  <si>
    <t>Senegal</t>
  </si>
  <si>
    <t>Netrherlands</t>
  </si>
  <si>
    <t>Runner-up</t>
  </si>
  <si>
    <t>X The Team to Win</t>
  </si>
  <si>
    <t>Game 57</t>
  </si>
  <si>
    <t>Phone No</t>
  </si>
  <si>
    <t>3rd</t>
  </si>
  <si>
    <t>winner G49</t>
  </si>
  <si>
    <t>winner G50</t>
  </si>
  <si>
    <t>4th</t>
  </si>
  <si>
    <t>Game 50</t>
  </si>
  <si>
    <t>England</t>
  </si>
  <si>
    <t>Winner GC</t>
  </si>
  <si>
    <t>Runner up GD</t>
  </si>
  <si>
    <t>IR Iran</t>
  </si>
  <si>
    <t>Game 61</t>
  </si>
  <si>
    <t>USA</t>
  </si>
  <si>
    <t>Group B</t>
  </si>
  <si>
    <t>winner G57</t>
  </si>
  <si>
    <t>winner G58</t>
  </si>
  <si>
    <t>Wales</t>
  </si>
  <si>
    <t>FINAL</t>
  </si>
  <si>
    <t>Game 51</t>
  </si>
  <si>
    <t>Argentina</t>
  </si>
  <si>
    <t>Winner GB</t>
  </si>
  <si>
    <t>Runner up GA</t>
  </si>
  <si>
    <t>Saudi Arabia</t>
  </si>
  <si>
    <t>Game 58</t>
  </si>
  <si>
    <t>Game 64</t>
  </si>
  <si>
    <t>Mexico</t>
  </si>
  <si>
    <t>winner G53</t>
  </si>
  <si>
    <t>winner G54</t>
  </si>
  <si>
    <t>winner G61</t>
  </si>
  <si>
    <t>winner G62</t>
  </si>
  <si>
    <t>Poland</t>
  </si>
  <si>
    <t>Game 52</t>
  </si>
  <si>
    <t>France</t>
  </si>
  <si>
    <t>Winner GD</t>
  </si>
  <si>
    <t>Runner up GC</t>
  </si>
  <si>
    <t>Australia</t>
  </si>
  <si>
    <t>Group C</t>
  </si>
  <si>
    <t>WORLD CUP WINNER</t>
  </si>
  <si>
    <t>Denmark</t>
  </si>
  <si>
    <t>Tunisia</t>
  </si>
  <si>
    <t>Game 53</t>
  </si>
  <si>
    <t>3rd and 4th Playoff</t>
  </si>
  <si>
    <t>Spain</t>
  </si>
  <si>
    <t>Winner GE</t>
  </si>
  <si>
    <t>Runner up GF</t>
  </si>
  <si>
    <t>Cost Rica</t>
  </si>
  <si>
    <t>Game 59</t>
  </si>
  <si>
    <t>Game 63</t>
  </si>
  <si>
    <t>Germany</t>
  </si>
  <si>
    <t>winner G51</t>
  </si>
  <si>
    <t>winner G52</t>
  </si>
  <si>
    <t>Loser G61</t>
  </si>
  <si>
    <t>Loser G 62</t>
  </si>
  <si>
    <t>Japan</t>
  </si>
  <si>
    <t>Game 54</t>
  </si>
  <si>
    <t>Belgium</t>
  </si>
  <si>
    <t>Group D</t>
  </si>
  <si>
    <t>Winner GG</t>
  </si>
  <si>
    <t>Runner up GH</t>
  </si>
  <si>
    <t>Canada</t>
  </si>
  <si>
    <t>Game 62</t>
  </si>
  <si>
    <t>Morocco</t>
  </si>
  <si>
    <t>Tunsia</t>
  </si>
  <si>
    <t>winner G59</t>
  </si>
  <si>
    <t>winner G60</t>
  </si>
  <si>
    <t>Crotia</t>
  </si>
  <si>
    <t>Game 55</t>
  </si>
  <si>
    <t>Brazil</t>
  </si>
  <si>
    <t>Winner GF</t>
  </si>
  <si>
    <t>Runner up GE</t>
  </si>
  <si>
    <t>Serbia</t>
  </si>
  <si>
    <t>Game 60</t>
  </si>
  <si>
    <t>Switzerland</t>
  </si>
  <si>
    <t>winner G55</t>
  </si>
  <si>
    <t>winner G56</t>
  </si>
  <si>
    <t>Cameroon</t>
  </si>
  <si>
    <t>Group E</t>
  </si>
  <si>
    <t>Game 56</t>
  </si>
  <si>
    <t>Stephen Kinane</t>
  </si>
  <si>
    <t>Portugal</t>
  </si>
  <si>
    <t>Winner GH</t>
  </si>
  <si>
    <t>Runner up GG</t>
  </si>
  <si>
    <t>In Memory of</t>
  </si>
  <si>
    <t>Ghana</t>
  </si>
  <si>
    <t>Uruguay</t>
  </si>
  <si>
    <t>Costa Rica</t>
  </si>
  <si>
    <t>Korea Republic</t>
  </si>
  <si>
    <t>Instructions</t>
  </si>
  <si>
    <t>Scoring</t>
  </si>
  <si>
    <t>Group Stage</t>
  </si>
  <si>
    <t>Place an X next to the result you predict will happen</t>
  </si>
  <si>
    <t>If you think a team will win by 2 or more goals place the X in the Win +2 box</t>
  </si>
  <si>
    <t>Group round</t>
  </si>
  <si>
    <t>Group F</t>
  </si>
  <si>
    <t>Only place an X ONCE per Row. DO NOT pick a second box.</t>
  </si>
  <si>
    <t>Point awarded for Correctly selecting the Result in the Group stage</t>
  </si>
  <si>
    <t>Bonus point awarded if correctly predicting that a team wins by 2 Goals or more</t>
  </si>
  <si>
    <t>Example</t>
  </si>
  <si>
    <t>If you think Qatar/Equador will be a draw and Netherlands will beat Sengal by 2 or more goals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</si>
  <si>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</si>
  <si>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t>Place your X as Shown Below</t>
  </si>
  <si>
    <t>Point awarded for predicting the finishing Position of teams in Group table</t>
  </si>
  <si>
    <t>Round of 16</t>
  </si>
  <si>
    <t>Point awarded for having the correct team in the correct place in the Round</t>
  </si>
  <si>
    <t>Point awarded for having the correct team in the Round irrespective of Position</t>
  </si>
  <si>
    <t>Points awarded for picking the correct Game Winner irrespective of the Team</t>
  </si>
  <si>
    <t>Group G</t>
  </si>
  <si>
    <t>Group Tables</t>
  </si>
  <si>
    <t>Points awarded for having the correct team in the correct place in the Round</t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</si>
  <si>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</si>
  <si>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t>Points awarded for having the correct team in the Round irrespective of Position</t>
  </si>
  <si>
    <t>Switzgerald</t>
  </si>
  <si>
    <t>Playoff</t>
  </si>
  <si>
    <t>Filling in the Top Two will automatically transfer the Teams into the round of 16.</t>
  </si>
  <si>
    <t>Group H</t>
  </si>
  <si>
    <t>Round of 16 thru to the Final</t>
  </si>
  <si>
    <t>Placing an X below the Team you think will WIN the round automatically moves the team into the next round.</t>
  </si>
  <si>
    <t>Final</t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</si>
  <si>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</si>
  <si>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t>Points awarded for picking the correct Winner irrespective of the Team</t>
  </si>
  <si>
    <t>The Organiser reserves the Last word on any Conflicts or Disputes the may arise in the running of this competition</t>
  </si>
  <si>
    <t>Bonus</t>
  </si>
  <si>
    <t>Correct World Cup Winner</t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</si>
  <si>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</si>
  <si>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t>x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</si>
  <si>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</si>
  <si>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</si>
  <si>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</si>
  <si>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</si>
  <si>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</si>
  <si>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</si>
  <si>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</si>
  <si>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</si>
  <si>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</si>
  <si>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</si>
  <si>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</si>
  <si>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</si>
  <si>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</si>
  <si>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</si>
  <si>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</si>
  <si>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</si>
  <si>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</si>
  <si>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</si>
  <si>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</si>
  <si>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</si>
  <si>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t>Anthony Shaw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</si>
  <si>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</si>
  <si>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</si>
  <si>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</si>
  <si>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</si>
  <si>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</si>
  <si>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</si>
  <si>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</si>
  <si>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</si>
  <si>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</si>
  <si>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</si>
  <si>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</si>
  <si>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</si>
  <si>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</si>
  <si>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</si>
  <si>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</si>
  <si>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</si>
  <si>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</si>
  <si>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</si>
  <si>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</si>
  <si>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</si>
  <si>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</si>
  <si>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</si>
  <si>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</si>
  <si>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</si>
  <si>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t>\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</si>
  <si>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</si>
  <si>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t>\\\\\\\\\\\\\\\\\\\\\\\\\\</t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</si>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</sst>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  <scheme val="minor"/>
    </font>
    <font>
      <sz val="11.0"/>
      <color theme="1"/>
      <name val="Calibri"/>
    </font>
    <font>
      <color theme="1"/>
      <name val="Calibri"/>
      <scheme val="minor"/>
    </font>
    <font>
      <b/>
      <sz val="11.0"/>
      <color theme="1"/>
      <name val="Calibri"/>
    </font>
    <font>
      <b/>
      <sz val="11.0"/>
      <color rgb="FFFF0000"/>
      <name val="Calibri"/>
    </font>
    <font/>
    <font>
      <sz val="11.0"/>
      <color rgb="FFB6DDE8"/>
      <name val="Calibri"/>
    </font>
    <font>
      <b/>
      <sz val="28.0"/>
      <color theme="1"/>
      <name val="Calibri"/>
    </font>
    <font>
      <b/>
      <sz val="14.0"/>
      <color rgb="FF0066CC"/>
      <name val="Calibri"/>
    </font>
    <font>
      <i/>
      <sz val="11.0"/>
      <color theme="1"/>
      <name val="Calibri"/>
    </font>
    <font>
      <sz val="11.0"/>
      <color rgb="FF0066CC"/>
      <name val="Calibri"/>
    </font>
  </fonts>
  <fills count="5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B6DDE8"/>
        <bgColor rgb="FFB6DDE8"/>
      </patternFill>
    </fill>
    <fill>
      <patternFill patternType="solid">
        <fgColor rgb="FFFFCC00"/>
        <bgColor rgb="FFFFCC00"/>
      </patternFill>
    </fill>
  </fills>
  <borders count="62">
    <border/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</border>
    <border>
      <left style="medium">
        <color rgb="FF993300"/>
      </left>
      <right style="medium">
        <color rgb="FF993300"/>
      </right>
      <top style="medium">
        <color rgb="FF993300"/>
      </top>
      <bottom/>
    </border>
    <border>
      <left style="medium">
        <color rgb="FF993300"/>
      </left>
      <right style="medium">
        <color rgb="FF993300"/>
      </right>
      <top/>
      <bottom/>
    </border>
    <border>
      <left style="medium">
        <color rgb="FF993300"/>
      </left>
      <right style="medium">
        <color rgb="FF993300"/>
      </right>
    </border>
    <border>
      <left style="medium">
        <color rgb="FF0066CC"/>
      </left>
      <right style="medium">
        <color rgb="FF0066CC"/>
      </right>
      <top style="medium">
        <color rgb="FF0066CC"/>
      </top>
      <bottom/>
    </border>
    <border>
      <left style="medium">
        <color rgb="FF0066CC"/>
      </left>
      <right style="medium">
        <color rgb="FF0066CC"/>
      </right>
      <top/>
      <bottom/>
    </border>
    <border>
      <left style="medium">
        <color rgb="FF0066CC"/>
      </left>
      <right style="medium">
        <color rgb="FF0066CC"/>
      </right>
    </border>
    <border>
      <left style="medium">
        <color rgb="FF800080"/>
      </left>
      <right style="medium">
        <color rgb="FF800080"/>
      </right>
      <top style="medium">
        <color rgb="FF800080"/>
      </top>
      <bottom/>
    </border>
    <border>
      <left style="medium">
        <color rgb="FF800080"/>
      </left>
      <right style="medium">
        <color rgb="FF800080"/>
      </right>
      <top/>
      <bottom/>
    </border>
    <border>
      <left style="medium">
        <color rgb="FF800080"/>
      </left>
      <right style="medium">
        <color rgb="FF800080"/>
      </right>
    </border>
    <border>
      <left style="medium">
        <color rgb="FFE36C09"/>
      </left>
      <right style="medium">
        <color rgb="FFE36C09"/>
      </right>
      <top style="medium">
        <color rgb="FFE36C09"/>
      </top>
      <bottom/>
    </border>
    <border>
      <left style="medium">
        <color rgb="FFE36C09"/>
      </left>
      <right style="medium">
        <color rgb="FFE36C09"/>
      </right>
      <top/>
      <bottom/>
    </border>
    <border>
      <left style="medium">
        <color rgb="FFE36C09"/>
      </left>
      <right style="medium">
        <color rgb="FFE36C09"/>
      </right>
    </border>
    <border>
      <left style="medium">
        <color rgb="FF31859B"/>
      </left>
      <right style="medium">
        <color rgb="FF31859B"/>
      </right>
      <top style="medium">
        <color rgb="FF31859B"/>
      </top>
      <bottom/>
    </border>
    <border>
      <left style="medium">
        <color rgb="FF31859B"/>
      </left>
      <right style="medium">
        <color rgb="FF31859B"/>
      </right>
      <top/>
      <bottom/>
    </border>
    <border>
      <left style="medium">
        <color rgb="FF31859B"/>
      </left>
      <right style="medium">
        <color rgb="FF31859B"/>
      </right>
    </border>
    <border>
      <left style="medium">
        <color rgb="FF31859B"/>
      </left>
      <right style="medium">
        <color rgb="FF31859B"/>
      </right>
      <bottom style="medium">
        <color rgb="FF31859B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thin">
        <color rgb="FF000000"/>
      </right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thin">
        <color rgb="FF000000"/>
      </right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thin">
        <color rgb="FF000000"/>
      </right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top/>
    </border>
    <border>
      <right/>
      <top/>
    </border>
    <border>
      <left/>
      <bottom/>
    </border>
    <border>
      <right/>
      <bottom/>
    </border>
    <border>
      <left/>
      <top/>
      <bottom/>
    </border>
    <border>
      <right/>
      <top/>
      <bottom/>
    </border>
    <border>
      <left style="thin">
        <color rgb="FF000000"/>
      </left>
      <right/>
      <top/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13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0" fillId="2" fontId="2" numFmtId="0" xfId="0" applyFont="1"/>
    <xf borderId="2" fillId="2" fontId="1" numFmtId="0" xfId="0" applyAlignment="1" applyBorder="1" applyFont="1">
      <alignment shrinkToFit="0" vertical="bottom" wrapText="0"/>
    </xf>
    <xf borderId="3" fillId="2" fontId="1" numFmtId="0" xfId="0" applyAlignment="1" applyBorder="1" applyFont="1">
      <alignment shrinkToFit="0" vertical="bottom" wrapText="0"/>
    </xf>
    <xf borderId="4" fillId="2" fontId="1" numFmtId="0" xfId="0" applyAlignment="1" applyBorder="1" applyFont="1">
      <alignment shrinkToFit="0" vertical="bottom" wrapText="0"/>
    </xf>
    <xf borderId="5" fillId="2" fontId="1" numFmtId="0" xfId="0" applyAlignment="1" applyBorder="1" applyFont="1">
      <alignment shrinkToFit="0" vertical="bottom" wrapText="0"/>
    </xf>
    <xf borderId="6" fillId="2" fontId="1" numFmtId="0" xfId="0" applyAlignment="1" applyBorder="1" applyFont="1">
      <alignment shrinkToFit="0" vertical="bottom" wrapText="0"/>
    </xf>
    <xf borderId="7" fillId="2" fontId="1" numFmtId="0" xfId="0" applyAlignment="1" applyBorder="1" applyFont="1">
      <alignment shrinkToFit="0" vertical="bottom" wrapText="0"/>
    </xf>
    <xf borderId="8" fillId="2" fontId="1" numFmtId="0" xfId="0" applyAlignment="1" applyBorder="1" applyFont="1">
      <alignment shrinkToFit="0" vertical="bottom" wrapText="0"/>
    </xf>
    <xf borderId="9" fillId="2" fontId="1" numFmtId="0" xfId="0" applyAlignment="1" applyBorder="1" applyFont="1">
      <alignment shrinkToFit="0" vertical="bottom" wrapText="0"/>
    </xf>
    <xf borderId="10" fillId="2" fontId="1" numFmtId="0" xfId="0" applyAlignment="1" applyBorder="1" applyFont="1">
      <alignment shrinkToFit="0" vertical="bottom" wrapText="0"/>
    </xf>
    <xf borderId="11" fillId="2" fontId="1" numFmtId="0" xfId="0" applyAlignment="1" applyBorder="1" applyFont="1">
      <alignment shrinkToFit="0" vertical="bottom" wrapText="0"/>
    </xf>
    <xf borderId="12" fillId="2" fontId="1" numFmtId="0" xfId="0" applyAlignment="1" applyBorder="1" applyFont="1">
      <alignment shrinkToFit="0" vertical="bottom" wrapText="0"/>
    </xf>
    <xf borderId="13" fillId="2" fontId="1" numFmtId="0" xfId="0" applyAlignment="1" applyBorder="1" applyFont="1">
      <alignment shrinkToFit="0" vertical="bottom" wrapText="0"/>
    </xf>
    <xf borderId="14" fillId="2" fontId="1" numFmtId="0" xfId="0" applyAlignment="1" applyBorder="1" applyFont="1">
      <alignment shrinkToFit="0" vertical="bottom" wrapText="0"/>
    </xf>
    <xf borderId="15" fillId="2" fontId="1" numFmtId="0" xfId="0" applyAlignment="1" applyBorder="1" applyFont="1">
      <alignment shrinkToFit="0" vertical="bottom" wrapText="0"/>
    </xf>
    <xf borderId="16" fillId="2" fontId="1" numFmtId="0" xfId="0" applyAlignment="1" applyBorder="1" applyFont="1">
      <alignment shrinkToFit="0" vertical="bottom" wrapText="0"/>
    </xf>
    <xf borderId="17" fillId="2" fontId="1" numFmtId="0" xfId="0" applyAlignment="1" applyBorder="1" applyFont="1">
      <alignment shrinkToFit="0" vertical="bottom" wrapText="0"/>
    </xf>
    <xf borderId="18" fillId="2" fontId="1" numFmtId="0" xfId="0" applyAlignment="1" applyBorder="1" applyFont="1">
      <alignment shrinkToFit="0" vertical="bottom" wrapText="0"/>
    </xf>
    <xf borderId="19" fillId="2" fontId="1" numFmtId="0" xfId="0" applyAlignment="1" applyBorder="1" applyFont="1">
      <alignment shrinkToFit="0" vertical="bottom" wrapText="0"/>
    </xf>
    <xf borderId="20" fillId="3" fontId="1" numFmtId="0" xfId="0" applyAlignment="1" applyBorder="1" applyFill="1" applyFont="1">
      <alignment horizontal="right" shrinkToFit="0" vertical="bottom" wrapText="0"/>
    </xf>
    <xf borderId="21" fillId="3" fontId="1" numFmtId="0" xfId="0" applyAlignment="1" applyBorder="1" applyFont="1">
      <alignment horizontal="center" shrinkToFit="0" vertical="bottom" wrapText="0"/>
    </xf>
    <xf borderId="22" fillId="3" fontId="1" numFmtId="0" xfId="0" applyAlignment="1" applyBorder="1" applyFont="1">
      <alignment horizontal="left" shrinkToFit="0" vertical="bottom" wrapText="0"/>
    </xf>
    <xf borderId="21" fillId="3" fontId="1" numFmtId="0" xfId="0" applyAlignment="1" applyBorder="1" applyFont="1">
      <alignment shrinkToFit="0" vertical="bottom" wrapText="0"/>
    </xf>
    <xf borderId="23" fillId="3" fontId="1" numFmtId="0" xfId="0" applyAlignment="1" applyBorder="1" applyFont="1">
      <alignment shrinkToFit="0" vertical="bottom" wrapText="0"/>
    </xf>
    <xf borderId="20" fillId="3" fontId="3" numFmtId="0" xfId="0" applyAlignment="1" applyBorder="1" applyFont="1">
      <alignment horizontal="center" shrinkToFit="0" vertical="bottom" wrapText="0"/>
    </xf>
    <xf borderId="23" fillId="3" fontId="1" numFmtId="0" xfId="0" applyAlignment="1" applyBorder="1" applyFont="1">
      <alignment horizontal="center" shrinkToFit="0" vertical="bottom" wrapText="0"/>
    </xf>
    <xf borderId="20" fillId="3" fontId="3" numFmtId="0" xfId="0" applyAlignment="1" applyBorder="1" applyFont="1">
      <alignment shrinkToFit="0" vertical="bottom" wrapText="0"/>
    </xf>
    <xf borderId="20" fillId="3" fontId="1" numFmtId="0" xfId="0" applyAlignment="1" applyBorder="1" applyFont="1">
      <alignment shrinkToFit="0" vertical="bottom" wrapText="0"/>
    </xf>
    <xf borderId="24" fillId="0" fontId="1" numFmtId="0" xfId="0" applyAlignment="1" applyBorder="1" applyFont="1">
      <alignment shrinkToFit="0" vertical="bottom" wrapText="0"/>
    </xf>
    <xf borderId="25" fillId="0" fontId="1" numFmtId="0" xfId="0" applyAlignment="1" applyBorder="1" applyFont="1">
      <alignment horizontal="left" shrinkToFit="0" vertical="bottom" wrapText="0"/>
    </xf>
    <xf borderId="26" fillId="0" fontId="1" numFmtId="0" xfId="0" applyAlignment="1" applyBorder="1" applyFont="1">
      <alignment shrinkToFit="0" vertical="bottom" wrapText="0"/>
    </xf>
    <xf borderId="27" fillId="3" fontId="1" numFmtId="0" xfId="0" applyAlignment="1" applyBorder="1" applyFont="1">
      <alignment horizontal="right" shrinkToFit="0" vertical="bottom" wrapText="0"/>
    </xf>
    <xf borderId="28" fillId="3" fontId="1" numFmtId="0" xfId="0" applyAlignment="1" applyBorder="1" applyFont="1">
      <alignment horizontal="center" shrinkToFit="0" vertical="bottom" wrapText="0"/>
    </xf>
    <xf borderId="29" fillId="3" fontId="1" numFmtId="0" xfId="0" applyAlignment="1" applyBorder="1" applyFont="1">
      <alignment horizontal="left" shrinkToFit="0" vertical="bottom" wrapText="0"/>
    </xf>
    <xf borderId="28" fillId="3" fontId="1" numFmtId="0" xfId="0" applyAlignment="1" applyBorder="1" applyFont="1">
      <alignment shrinkToFit="0" vertical="bottom" wrapText="0"/>
    </xf>
    <xf borderId="30" fillId="3" fontId="1" numFmtId="0" xfId="0" applyAlignment="1" applyBorder="1" applyFont="1">
      <alignment shrinkToFit="0" vertical="bottom" wrapText="0"/>
    </xf>
    <xf borderId="27" fillId="3" fontId="1" numFmtId="0" xfId="0" applyAlignment="1" applyBorder="1" applyFont="1">
      <alignment horizontal="center" shrinkToFit="0" vertical="bottom" wrapText="0"/>
    </xf>
    <xf borderId="30" fillId="3" fontId="1" numFmtId="0" xfId="0" applyAlignment="1" applyBorder="1" applyFont="1">
      <alignment horizontal="center" shrinkToFit="0" vertical="bottom" wrapText="0"/>
    </xf>
    <xf borderId="27" fillId="3" fontId="1" numFmtId="0" xfId="0" applyAlignment="1" applyBorder="1" applyFont="1">
      <alignment shrinkToFit="0" vertical="bottom" wrapText="0"/>
    </xf>
    <xf borderId="27" fillId="3" fontId="4" numFmtId="0" xfId="0" applyAlignment="1" applyBorder="1" applyFont="1">
      <alignment shrinkToFit="0" vertical="bottom" wrapText="0"/>
    </xf>
    <xf borderId="31" fillId="0" fontId="1" numFmtId="0" xfId="0" applyAlignment="1" applyBorder="1" applyFont="1">
      <alignment readingOrder="0" shrinkToFit="0" vertical="bottom" wrapText="0"/>
    </xf>
    <xf borderId="32" fillId="0" fontId="5" numFmtId="0" xfId="0" applyBorder="1" applyFont="1"/>
    <xf borderId="33" fillId="0" fontId="1" numFmtId="0" xfId="0" applyAlignment="1" applyBorder="1" applyFont="1">
      <alignment shrinkToFit="0" vertical="bottom" wrapText="0"/>
    </xf>
    <xf borderId="0" fillId="0" fontId="1" numFmtId="0" xfId="0" applyAlignment="1" applyFont="1">
      <alignment horizontal="left" shrinkToFit="0" vertical="bottom" wrapText="0"/>
    </xf>
    <xf borderId="34" fillId="0" fontId="1" numFmtId="0" xfId="0" applyAlignment="1" applyBorder="1" applyFont="1">
      <alignment shrinkToFit="0" vertical="bottom" wrapText="0"/>
    </xf>
    <xf borderId="35" fillId="4" fontId="1" numFmtId="0" xfId="0" applyAlignment="1" applyBorder="1" applyFill="1" applyFont="1">
      <alignment horizontal="center" shrinkToFit="0" vertical="bottom" wrapText="0"/>
    </xf>
    <xf borderId="36" fillId="4" fontId="1" numFmtId="0" xfId="0" applyAlignment="1" applyBorder="1" applyFont="1">
      <alignment horizontal="center" shrinkToFit="0" vertical="bottom" wrapText="0"/>
    </xf>
    <xf borderId="36" fillId="4" fontId="1" numFmtId="0" xfId="0" applyAlignment="1" applyBorder="1" applyFont="1">
      <alignment horizontal="center" readingOrder="0" shrinkToFit="0" vertical="bottom" wrapText="0"/>
    </xf>
    <xf borderId="37" fillId="4" fontId="1" numFmtId="0" xfId="0" applyAlignment="1" applyBorder="1" applyFont="1">
      <alignment horizontal="center" shrinkToFit="0" vertical="bottom" wrapText="0"/>
    </xf>
    <xf borderId="28" fillId="3" fontId="6" numFmtId="0" xfId="0" applyAlignment="1" applyBorder="1" applyFont="1">
      <alignment shrinkToFit="0" vertical="bottom" wrapText="0"/>
    </xf>
    <xf borderId="38" fillId="3" fontId="1" numFmtId="0" xfId="0" applyAlignment="1" applyBorder="1" applyFont="1">
      <alignment shrinkToFit="0" vertical="bottom" wrapText="0"/>
    </xf>
    <xf borderId="39" fillId="4" fontId="1" numFmtId="0" xfId="0" applyAlignment="1" applyBorder="1" applyFont="1">
      <alignment readingOrder="0" shrinkToFit="0" vertical="bottom" wrapText="0"/>
    </xf>
    <xf borderId="35" fillId="3" fontId="1" numFmtId="0" xfId="0" applyAlignment="1" applyBorder="1" applyFont="1">
      <alignment horizontal="center" shrinkToFit="0" vertical="bottom" wrapText="0"/>
    </xf>
    <xf borderId="37" fillId="3" fontId="1" numFmtId="0" xfId="0" applyAlignment="1" applyBorder="1" applyFont="1">
      <alignment horizontal="center" shrinkToFit="0" vertical="bottom" wrapText="0"/>
    </xf>
    <xf borderId="31" fillId="0" fontId="1" numFmtId="0" xfId="0" applyAlignment="1" applyBorder="1" applyFont="1">
      <alignment shrinkToFit="0" vertical="bottom" wrapText="0"/>
    </xf>
    <xf borderId="40" fillId="3" fontId="1" numFmtId="0" xfId="0" applyAlignment="1" applyBorder="1" applyFont="1">
      <alignment shrinkToFit="0" vertical="bottom" wrapText="0"/>
    </xf>
    <xf borderId="41" fillId="4" fontId="1" numFmtId="0" xfId="0" applyAlignment="1" applyBorder="1" applyFont="1">
      <alignment readingOrder="0" shrinkToFit="0" vertical="bottom" wrapText="0"/>
    </xf>
    <xf borderId="42" fillId="4" fontId="1" numFmtId="0" xfId="0" applyAlignment="1" applyBorder="1" applyFont="1">
      <alignment horizontal="center" readingOrder="0" shrinkToFit="0" vertical="bottom" wrapText="0"/>
    </xf>
    <xf borderId="43" fillId="4" fontId="1" numFmtId="0" xfId="0" applyAlignment="1" applyBorder="1" applyFont="1">
      <alignment horizontal="center" shrinkToFit="0" vertical="bottom" wrapText="0"/>
    </xf>
    <xf borderId="30" fillId="3" fontId="6" numFmtId="0" xfId="0" applyAlignment="1" applyBorder="1" applyFont="1">
      <alignment horizontal="center" shrinkToFit="0" vertical="bottom" wrapText="0"/>
    </xf>
    <xf borderId="42" fillId="4" fontId="1" numFmtId="0" xfId="0" applyAlignment="1" applyBorder="1" applyFont="1">
      <alignment horizontal="center" shrinkToFit="0" vertical="bottom" wrapText="0"/>
    </xf>
    <xf borderId="44" fillId="4" fontId="1" numFmtId="0" xfId="0" applyAlignment="1" applyBorder="1" applyFont="1">
      <alignment horizontal="center" shrinkToFit="0" vertical="bottom" wrapText="0"/>
    </xf>
    <xf borderId="44" fillId="4" fontId="1" numFmtId="0" xfId="0" applyAlignment="1" applyBorder="1" applyFont="1">
      <alignment horizontal="center" readingOrder="0" shrinkToFit="0" vertical="bottom" wrapText="0"/>
    </xf>
    <xf borderId="45" fillId="3" fontId="1" numFmtId="0" xfId="0" applyAlignment="1" applyBorder="1" applyFont="1">
      <alignment horizontal="left" shrinkToFit="0" vertical="bottom" wrapText="0"/>
    </xf>
    <xf borderId="42" fillId="3" fontId="1" numFmtId="0" xfId="0" applyAlignment="1" applyBorder="1" applyFont="1">
      <alignment shrinkToFit="0" vertical="bottom" wrapText="0"/>
    </xf>
    <xf borderId="21" fillId="3" fontId="6" numFmtId="0" xfId="0" applyAlignment="1" applyBorder="1" applyFont="1">
      <alignment horizontal="center" shrinkToFit="0" vertical="bottom" wrapText="0"/>
    </xf>
    <xf borderId="45" fillId="3" fontId="1" numFmtId="0" xfId="0" applyAlignment="1" applyBorder="1" applyFont="1">
      <alignment horizontal="right" shrinkToFit="0" vertical="bottom" wrapText="0"/>
    </xf>
    <xf borderId="46" fillId="3" fontId="1" numFmtId="0" xfId="0" applyAlignment="1" applyBorder="1" applyFont="1">
      <alignment shrinkToFit="0" vertical="bottom" wrapText="0"/>
    </xf>
    <xf borderId="47" fillId="4" fontId="1" numFmtId="0" xfId="0" applyAlignment="1" applyBorder="1" applyFont="1">
      <alignment readingOrder="0" shrinkToFit="0" vertical="bottom" wrapText="0"/>
    </xf>
    <xf borderId="43" fillId="4" fontId="1" numFmtId="0" xfId="0" applyAlignment="1" applyBorder="1" applyFont="1">
      <alignment horizontal="center" readingOrder="0" shrinkToFit="0" vertical="bottom" wrapText="0"/>
    </xf>
    <xf borderId="48" fillId="3" fontId="1" numFmtId="0" xfId="0" applyAlignment="1" applyBorder="1" applyFont="1">
      <alignment horizontal="right" shrinkToFit="0" vertical="bottom" wrapText="0"/>
    </xf>
    <xf borderId="49" fillId="3" fontId="1" numFmtId="0" xfId="0" applyAlignment="1" applyBorder="1" applyFont="1">
      <alignment horizontal="center" shrinkToFit="0" vertical="bottom" wrapText="0"/>
    </xf>
    <xf borderId="50" fillId="3" fontId="1" numFmtId="0" xfId="0" applyAlignment="1" applyBorder="1" applyFont="1">
      <alignment horizontal="left" shrinkToFit="0" vertical="bottom" wrapText="0"/>
    </xf>
    <xf borderId="49" fillId="3" fontId="1" numFmtId="0" xfId="0" applyAlignment="1" applyBorder="1" applyFont="1">
      <alignment shrinkToFit="0" vertical="bottom" wrapText="0"/>
    </xf>
    <xf borderId="51" fillId="3" fontId="1" numFmtId="0" xfId="0" applyAlignment="1" applyBorder="1" applyFont="1">
      <alignment shrinkToFit="0" vertical="bottom" wrapText="0"/>
    </xf>
    <xf borderId="52" fillId="3" fontId="7" numFmtId="0" xfId="0" applyAlignment="1" applyBorder="1" applyFont="1">
      <alignment horizontal="center" shrinkToFit="0" vertical="bottom" wrapText="0"/>
    </xf>
    <xf borderId="53" fillId="0" fontId="5" numFmtId="0" xfId="0" applyBorder="1" applyFont="1"/>
    <xf borderId="35" fillId="4" fontId="1" numFmtId="0" xfId="0" applyAlignment="1" applyBorder="1" applyFont="1">
      <alignment horizontal="center" readingOrder="0" shrinkToFit="0" vertical="bottom" wrapText="0"/>
    </xf>
    <xf borderId="54" fillId="0" fontId="5" numFmtId="0" xfId="0" applyBorder="1" applyFont="1"/>
    <xf borderId="55" fillId="0" fontId="5" numFmtId="0" xfId="0" applyBorder="1" applyFont="1"/>
    <xf borderId="27" fillId="3" fontId="6" numFmtId="0" xfId="0" applyAlignment="1" applyBorder="1" applyFont="1">
      <alignment horizontal="center" shrinkToFit="0" vertical="bottom" wrapText="0"/>
    </xf>
    <xf borderId="28" fillId="3" fontId="1" numFmtId="0" xfId="0" applyAlignment="1" applyBorder="1" applyFont="1">
      <alignment horizontal="right" shrinkToFit="0" vertical="bottom" wrapText="0"/>
    </xf>
    <xf borderId="31" fillId="3" fontId="8" numFmtId="0" xfId="0" applyAlignment="1" applyBorder="1" applyFont="1">
      <alignment horizontal="center" shrinkToFit="0" vertical="bottom" wrapText="0"/>
    </xf>
    <xf borderId="48" fillId="3" fontId="1" numFmtId="0" xfId="0" applyAlignment="1" applyBorder="1" applyFont="1">
      <alignment shrinkToFit="0" vertical="bottom" wrapText="0"/>
    </xf>
    <xf borderId="27" fillId="3" fontId="3" numFmtId="0" xfId="0" applyAlignment="1" applyBorder="1" applyFont="1">
      <alignment shrinkToFit="0" vertical="bottom" wrapText="0"/>
    </xf>
    <xf borderId="56" fillId="3" fontId="1" numFmtId="0" xfId="0" applyAlignment="1" applyBorder="1" applyFont="1">
      <alignment horizontal="center" shrinkToFit="0" vertical="bottom" wrapText="0"/>
    </xf>
    <xf borderId="57" fillId="0" fontId="5" numFmtId="0" xfId="0" applyBorder="1" applyFont="1"/>
    <xf borderId="58" fillId="3" fontId="6" numFmtId="0" xfId="0" applyAlignment="1" applyBorder="1" applyFont="1">
      <alignment shrinkToFit="0" vertical="bottom" wrapText="0"/>
    </xf>
    <xf borderId="49" fillId="3" fontId="6" numFmtId="0" xfId="0" applyAlignment="1" applyBorder="1" applyFont="1">
      <alignment shrinkToFit="0" vertical="bottom" wrapText="0"/>
    </xf>
    <xf borderId="56" fillId="3" fontId="3" numFmtId="0" xfId="0" applyAlignment="1" applyBorder="1" applyFont="1">
      <alignment horizontal="center" shrinkToFit="0" vertical="bottom" wrapText="0"/>
    </xf>
    <xf borderId="56" fillId="3" fontId="9" numFmtId="0" xfId="0" applyAlignment="1" applyBorder="1" applyFont="1">
      <alignment horizontal="center" shrinkToFit="0" vertical="bottom" wrapText="0"/>
    </xf>
    <xf borderId="48" fillId="3" fontId="1" numFmtId="0" xfId="0" applyAlignment="1" applyBorder="1" applyFont="1">
      <alignment horizontal="center" shrinkToFit="0" vertical="bottom" wrapText="0"/>
    </xf>
    <xf borderId="51" fillId="3" fontId="1" numFmtId="0" xfId="0" applyAlignment="1" applyBorder="1" applyFont="1">
      <alignment horizontal="center" shrinkToFit="0" vertical="bottom" wrapText="0"/>
    </xf>
    <xf borderId="59" fillId="0" fontId="1" numFmtId="0" xfId="0" applyAlignment="1" applyBorder="1" applyFont="1">
      <alignment shrinkToFit="0" vertical="bottom" wrapText="0"/>
    </xf>
    <xf borderId="60" fillId="0" fontId="1" numFmtId="0" xfId="0" applyAlignment="1" applyBorder="1" applyFont="1">
      <alignment horizontal="left" shrinkToFit="0" vertical="bottom" wrapText="0"/>
    </xf>
    <xf borderId="61" fillId="0" fontId="1" numFmtId="0" xfId="0" applyAlignment="1" applyBorder="1" applyFont="1">
      <alignment shrinkToFit="0" vertical="bottom" wrapText="0"/>
    </xf>
    <xf borderId="20" fillId="3" fontId="1" numFmtId="0" xfId="0" applyAlignment="1" applyBorder="1" applyFont="1">
      <alignment horizontal="center" shrinkToFit="0" vertical="bottom" wrapText="0"/>
    </xf>
    <xf borderId="28" fillId="3" fontId="1" numFmtId="0" xfId="0" applyAlignment="1" applyBorder="1" applyFont="1">
      <alignment horizontal="left" shrinkToFit="0" vertical="bottom" wrapText="0"/>
    </xf>
    <xf borderId="30" fillId="3" fontId="1" numFmtId="0" xfId="0" applyAlignment="1" applyBorder="1" applyFont="1">
      <alignment horizontal="left" shrinkToFit="0" vertical="bottom" wrapText="0"/>
    </xf>
    <xf borderId="37" fillId="4" fontId="1" numFmtId="0" xfId="0" applyAlignment="1" applyBorder="1" applyFont="1">
      <alignment horizontal="center" readingOrder="0" shrinkToFit="0" vertical="bottom" wrapText="0"/>
    </xf>
    <xf borderId="28" fillId="3" fontId="10" numFmtId="0" xfId="0" applyAlignment="1" applyBorder="1" applyFont="1">
      <alignment horizontal="left" shrinkToFit="0" vertical="bottom" wrapText="0"/>
    </xf>
    <xf borderId="28" fillId="3" fontId="10" numFmtId="0" xfId="0" applyAlignment="1" applyBorder="1" applyFont="1">
      <alignment horizontal="center" shrinkToFit="0" vertical="bottom" wrapText="0"/>
    </xf>
    <xf borderId="28" fillId="3" fontId="10" numFmtId="0" xfId="0" applyAlignment="1" applyBorder="1" applyFont="1">
      <alignment shrinkToFit="0" vertical="bottom" wrapText="0"/>
    </xf>
    <xf borderId="20" fillId="3" fontId="10" numFmtId="0" xfId="0" applyAlignment="1" applyBorder="1" applyFont="1">
      <alignment horizontal="right" shrinkToFit="0" vertical="bottom" wrapText="0"/>
    </xf>
    <xf borderId="21" fillId="3" fontId="10" numFmtId="0" xfId="0" applyAlignment="1" applyBorder="1" applyFont="1">
      <alignment horizontal="center" shrinkToFit="0" vertical="bottom" wrapText="0"/>
    </xf>
    <xf borderId="22" fillId="3" fontId="10" numFmtId="0" xfId="0" applyAlignment="1" applyBorder="1" applyFont="1">
      <alignment horizontal="left" shrinkToFit="0" vertical="bottom" wrapText="0"/>
    </xf>
    <xf borderId="27" fillId="3" fontId="10" numFmtId="0" xfId="0" applyAlignment="1" applyBorder="1" applyFont="1">
      <alignment horizontal="right" shrinkToFit="0" vertical="bottom" wrapText="0"/>
    </xf>
    <xf borderId="29" fillId="3" fontId="10" numFmtId="0" xfId="0" applyAlignment="1" applyBorder="1" applyFont="1">
      <alignment horizontal="left" shrinkToFit="0" vertical="bottom" wrapText="0"/>
    </xf>
    <xf borderId="35" fillId="3" fontId="10" numFmtId="0" xfId="0" applyAlignment="1" applyBorder="1" applyFont="1">
      <alignment horizontal="center" shrinkToFit="0" vertical="bottom" wrapText="0"/>
    </xf>
    <xf borderId="36" fillId="3" fontId="10" numFmtId="0" xfId="0" applyAlignment="1" applyBorder="1" applyFont="1">
      <alignment horizontal="center" shrinkToFit="0" vertical="bottom" wrapText="0"/>
    </xf>
    <xf borderId="37" fillId="3" fontId="10" numFmtId="0" xfId="0" applyAlignment="1" applyBorder="1" applyFont="1">
      <alignment horizontal="center" shrinkToFit="0" vertical="bottom" wrapText="0"/>
    </xf>
    <xf borderId="42" fillId="3" fontId="10" numFmtId="0" xfId="0" applyAlignment="1" applyBorder="1" applyFont="1">
      <alignment horizontal="center" shrinkToFit="0" vertical="bottom" wrapText="0"/>
    </xf>
    <xf borderId="44" fillId="3" fontId="10" numFmtId="0" xfId="0" applyAlignment="1" applyBorder="1" applyFont="1">
      <alignment horizontal="center" shrinkToFit="0" vertical="bottom" wrapText="0"/>
    </xf>
    <xf borderId="43" fillId="3" fontId="10" numFmtId="0" xfId="0" applyAlignment="1" applyBorder="1" applyFont="1">
      <alignment horizontal="center" shrinkToFit="0" vertical="bottom" wrapText="0"/>
    </xf>
    <xf borderId="38" fillId="3" fontId="10" numFmtId="0" xfId="0" applyAlignment="1" applyBorder="1" applyFont="1">
      <alignment shrinkToFit="0" vertical="bottom" wrapText="0"/>
    </xf>
    <xf borderId="39" fillId="3" fontId="10" numFmtId="0" xfId="0" applyAlignment="1" applyBorder="1" applyFont="1">
      <alignment shrinkToFit="0" vertical="bottom" wrapText="0"/>
    </xf>
    <xf borderId="40" fillId="3" fontId="10" numFmtId="0" xfId="0" applyAlignment="1" applyBorder="1" applyFont="1">
      <alignment shrinkToFit="0" vertical="bottom" wrapText="0"/>
    </xf>
    <xf borderId="41" fillId="3" fontId="10" numFmtId="0" xfId="0" applyAlignment="1" applyBorder="1" applyFont="1">
      <alignment shrinkToFit="0" vertical="bottom" wrapText="0"/>
    </xf>
    <xf borderId="46" fillId="3" fontId="10" numFmtId="0" xfId="0" applyAlignment="1" applyBorder="1" applyFont="1">
      <alignment shrinkToFit="0" vertical="bottom" wrapText="0"/>
    </xf>
    <xf borderId="47" fillId="3" fontId="10" numFmtId="0" xfId="0" applyAlignment="1" applyBorder="1" applyFont="1">
      <alignment shrinkToFit="0" vertical="bottom" wrapText="0"/>
    </xf>
    <xf borderId="0" fillId="0" fontId="1" numFmtId="0" xfId="0" applyAlignment="1" applyFont="1">
      <alignment horizontal="right" shrinkToFit="0" vertical="bottom" wrapText="0"/>
    </xf>
    <xf borderId="0" fillId="0" fontId="1" numFmtId="0" xfId="0" applyAlignment="1" applyFont="1">
      <alignment horizontal="center" shrinkToFit="0" vertical="bottom" wrapText="0"/>
    </xf>
    <xf borderId="39" fillId="4" fontId="1" numFmtId="0" xfId="0" applyAlignment="1" applyBorder="1" applyFont="1">
      <alignment shrinkToFit="0" vertical="bottom" wrapText="0"/>
    </xf>
    <xf borderId="41" fillId="4" fontId="1" numFmtId="0" xfId="0" applyAlignment="1" applyBorder="1" applyFont="1">
      <alignment shrinkToFit="0" vertical="bottom" wrapText="0"/>
    </xf>
    <xf borderId="47" fillId="4" fontId="1" numFmtId="0" xfId="0" applyAlignment="1" applyBorder="1" applyFont="1">
      <alignment shrinkToFit="0" vertical="bottom" wrapText="0"/>
    </xf>
    <xf quotePrefix="1" borderId="44" fillId="4" fontId="1" numFmtId="0" xfId="0" applyAlignment="1" applyBorder="1" applyFont="1">
      <alignment horizontal="center" readingOrder="0" shrinkToFit="0" vertical="bottom" wrapText="0"/>
    </xf>
    <xf borderId="29" fillId="3" fontId="1" numFmtId="0" xfId="0" applyAlignment="1" applyBorder="1" applyFont="1">
      <alignment horizontal="left" readingOrder="0" shrinkToFit="0" vertical="bottom" wrapText="0"/>
    </xf>
    <xf borderId="30" fillId="3" fontId="1" numFmtId="0" xfId="0" applyAlignment="1" applyBorder="1" applyFont="1">
      <alignment readingOrder="0" shrinkToFit="0" vertical="bottom" wrapText="0"/>
    </xf>
    <xf borderId="0" fillId="0" fontId="2" numFmtId="0" xfId="0" applyAlignment="1" applyFont="1">
      <alignment readingOrder="0"/>
    </xf>
  </cellXfs>
  <cellStyles count="1">
    <cellStyle xfId="0" name="Normal" builtinId="0"/>
  </cellStyles>
  <dxfs count="3"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008000"/>
          <bgColor rgb="FF008000"/>
        </patternFill>
      </fill>
      <border/>
    </dxf>
    <dxf>
      <font/>
      <fill>
        <patternFill patternType="solid">
          <fgColor rgb="FFF2F2F2"/>
          <bgColor rgb="FFF2F2F2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customschemas.google.com/relationships/workbookmetadata" Target="metadata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14.43"/>
    <col customWidth="1" min="2" max="26" width="8.0"/>
  </cols>
  <sheetData>
    <row r="1" ht="14.2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4.25" customHeight="1">
      <c r="A3" s="3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3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3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3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4.25" customHeight="1">
      <c r="A7" s="4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4.25" customHeight="1">
      <c r="A8" s="4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4.25" customHeight="1">
      <c r="A9" s="4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4.25" customHeight="1">
      <c r="A10" s="4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4.25" customHeight="1">
      <c r="A11" s="4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4.25" customHeight="1">
      <c r="A12" s="4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4.25" customHeight="1">
      <c r="A13" s="3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4.25" customHeight="1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4.25" customHeight="1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4.25" customHeight="1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4.25" customHeight="1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4.25" customHeight="1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4.25" customHeight="1">
      <c r="A19" s="4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4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4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4.25" customHeight="1">
      <c r="A22" s="4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4.25" customHeight="1">
      <c r="A23" s="4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4.25" customHeight="1">
      <c r="A24" s="4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4.25" customHeight="1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4.25" customHeight="1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4.25" customHeight="1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4.25" customHeight="1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4.25" customHeight="1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4.25" customHeight="1">
      <c r="A31" s="4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4.25" customHeight="1">
      <c r="A32" s="4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4.25" customHeight="1">
      <c r="A33" s="4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4.25" customHeight="1">
      <c r="A34" s="4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4.25" customHeight="1">
      <c r="A35" s="4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4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4.25" customHeight="1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customHeight="1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customHeight="1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4.25" customHeight="1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4.25" customHeight="1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4.25" customHeight="1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4.25" customHeight="1">
      <c r="A43" s="4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4.25" customHeight="1">
      <c r="A44" s="4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4.25" customHeight="1">
      <c r="A45" s="4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customHeight="1">
      <c r="A46" s="4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4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0" customHeight="1">
      <c r="A48" s="4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6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6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6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6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6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6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6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6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6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6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6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6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6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6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6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0" customHeight="1">
      <c r="A80" s="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8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10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10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10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10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10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10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10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10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10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10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10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0" customHeight="1">
      <c r="A104" s="10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11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1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1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13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13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13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1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1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1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1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13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0" customHeight="1">
      <c r="A116" s="13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14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15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15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16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16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0" customHeight="1">
      <c r="A122" s="16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1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18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18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1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1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0" customHeight="1">
      <c r="A128" s="20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42" t="s">
        <v>10</v>
      </c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50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1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49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49" t="s">
        <v>12</v>
      </c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4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 t="s">
        <v>12</v>
      </c>
      <c r="V11" s="60"/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Argentina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Mexico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Argentina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4" t="s">
        <v>12</v>
      </c>
      <c r="D22" s="63"/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48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4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53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Brazil</v>
      </c>
      <c r="Z25" s="66" t="str">
        <f>IF($V31="x",$U30,IF($U31="x",$V30,0))</f>
        <v>Belgium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Portugal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Uruguay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Uruguay</v>
      </c>
      <c r="N38" s="55" t="str">
        <f>J58</f>
        <v>Cameroon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4" t="s">
        <v>12</v>
      </c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101" t="s">
        <v>12</v>
      </c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122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4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132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9" t="s">
        <v>12</v>
      </c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98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4" t="s">
        <v>12</v>
      </c>
      <c r="D59" s="63"/>
      <c r="E59" s="63"/>
      <c r="F59" s="60"/>
      <c r="G59" s="35" t="s">
        <v>93</v>
      </c>
      <c r="H59" s="51">
        <f t="shared" si="7"/>
        <v>1</v>
      </c>
      <c r="I59" s="57" t="s">
        <v>25</v>
      </c>
      <c r="J59" s="58" t="s">
        <v>93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95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4" t="s">
        <v>12</v>
      </c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12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107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102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12</v>
      </c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141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4" t="s">
        <v>12</v>
      </c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146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 C6 E7 B8">
    <cfRule type="expression" dxfId="1" priority="3">
      <formula>$H$4=1</formula>
    </cfRule>
  </conditionalFormatting>
  <conditionalFormatting sqref="B4:F4 C6 E7 B8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50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101" t="s">
        <v>12</v>
      </c>
      <c r="F4" s="101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101" t="s">
        <v>12</v>
      </c>
      <c r="E5" s="63"/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101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101"/>
      <c r="D7" s="63"/>
      <c r="E7" s="101" t="s">
        <v>12</v>
      </c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101" t="s">
        <v>12</v>
      </c>
      <c r="C8" s="101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 t="s">
        <v>12</v>
      </c>
      <c r="V11" s="60"/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9" t="s">
        <v>12</v>
      </c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147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Argentina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4" t="s">
        <v>12</v>
      </c>
      <c r="E16" s="63"/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Argentina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79"/>
      <c r="D22" s="79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79" t="s">
        <v>12</v>
      </c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Belgium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79" t="s">
        <v>12</v>
      </c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79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Brazil</v>
      </c>
      <c r="Z25" s="66" t="str">
        <f>IF($V31="x",$U30,IF($U31="x",$V30,0))</f>
        <v>Portugal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79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9" t="s">
        <v>12</v>
      </c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Portugal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49" t="s">
        <v>12</v>
      </c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49" t="s">
        <v>12</v>
      </c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Crotia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49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62"/>
      <c r="N34" s="71" t="s">
        <v>12</v>
      </c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49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Spain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4" t="s">
        <v>12</v>
      </c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4" t="s">
        <v>12</v>
      </c>
      <c r="E43" s="63"/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4" t="s">
        <v>12</v>
      </c>
      <c r="E44" s="63"/>
      <c r="F44" s="60"/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88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148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9" t="s">
        <v>12</v>
      </c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78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49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49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49" t="s">
        <v>12</v>
      </c>
      <c r="D52" s="63"/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49"/>
      <c r="D53" s="49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149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9" t="s">
        <v>12</v>
      </c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93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109</v>
      </c>
      <c r="K68" s="37"/>
      <c r="L68" s="38">
        <v>4.0</v>
      </c>
      <c r="M68" s="99" t="s">
        <v>150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4" t="s">
        <v>12</v>
      </c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151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C4 D4:D5 E4:F4 C6:C8 E7 B8">
    <cfRule type="expression" dxfId="1" priority="3">
      <formula>$H$4=1</formula>
    </cfRule>
  </conditionalFormatting>
  <conditionalFormatting sqref="B4:C4 D4:D5 E4:F4 C6:C8 E7 B8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 C21:C23 D21:D22 E21:F21 D24 E25:E26">
    <cfRule type="expression" dxfId="0" priority="25">
      <formula>$H21&gt;1</formula>
    </cfRule>
  </conditionalFormatting>
  <conditionalFormatting sqref="B21 C21:C23 D21:D22 E21:F21 D24 E25:E26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B31 C30:F30 E32 D33 E34 F35">
    <cfRule type="expression" dxfId="0" priority="35">
      <formula>$H30&gt;1</formula>
    </cfRule>
  </conditionalFormatting>
  <conditionalFormatting sqref="B30:B31 C30:F30 E32 D33 E34 F35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 C48:C53 D48:F48 D53">
    <cfRule type="expression" dxfId="0" priority="59">
      <formula>$H48&gt;1</formula>
    </cfRule>
  </conditionalFormatting>
  <conditionalFormatting sqref="B48 C48:C53 D48:F48 D53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101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147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71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147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4" t="s">
        <v>147</v>
      </c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147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147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147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/>
      <c r="C21" s="49" t="s">
        <v>12</v>
      </c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147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Uruguay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Portugal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9" t="s">
        <v>12</v>
      </c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Uruguay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Uruguay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Uruguay</v>
      </c>
      <c r="N38" s="55" t="str">
        <f>J58</f>
        <v>Serbia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4" t="s">
        <v>12</v>
      </c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152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4" t="s">
        <v>12</v>
      </c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4" t="s">
        <v>12</v>
      </c>
      <c r="D53" s="63"/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153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93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95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4" t="s">
        <v>12</v>
      </c>
      <c r="D61" s="63"/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147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107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147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102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147</v>
      </c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154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4" t="s">
        <v>12</v>
      </c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147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147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155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101" t="s">
        <v>12</v>
      </c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147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59" t="s">
        <v>147</v>
      </c>
      <c r="C6" s="63"/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France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 t="s">
        <v>12</v>
      </c>
      <c r="C14" s="63"/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147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Belgium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Denmark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4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4" t="s">
        <v>12</v>
      </c>
      <c r="E25" s="63"/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Denmark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England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59" t="s">
        <v>12</v>
      </c>
      <c r="R26" s="60"/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Korea Republic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61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England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55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71" t="s">
        <v>12</v>
      </c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4" t="s">
        <v>12</v>
      </c>
      <c r="D32" s="63"/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4" t="s">
        <v>12</v>
      </c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71" t="s">
        <v>12</v>
      </c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71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4" t="s">
        <v>12</v>
      </c>
      <c r="F35" s="60"/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Serbia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Serbia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62"/>
      <c r="N39" s="71" t="s">
        <v>12</v>
      </c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4" t="s">
        <v>12</v>
      </c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9" t="s">
        <v>12</v>
      </c>
      <c r="E48" s="48"/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156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9" t="s">
        <v>12</v>
      </c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4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157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93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71" t="s">
        <v>12</v>
      </c>
      <c r="G59" s="35" t="s">
        <v>93</v>
      </c>
      <c r="H59" s="51">
        <f t="shared" si="7"/>
        <v>1</v>
      </c>
      <c r="I59" s="57" t="s">
        <v>25</v>
      </c>
      <c r="J59" s="58" t="s">
        <v>95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59" t="s">
        <v>12</v>
      </c>
      <c r="C61" s="63"/>
      <c r="D61" s="63"/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109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107</v>
      </c>
      <c r="K68" s="37"/>
      <c r="L68" s="38">
        <v>4.0</v>
      </c>
      <c r="M68" s="99" t="s">
        <v>158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4" t="s">
        <v>12</v>
      </c>
      <c r="E70" s="63"/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159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101" t="s">
        <v>12</v>
      </c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USA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9" t="s">
        <v>12</v>
      </c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35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4" t="s">
        <v>12</v>
      </c>
      <c r="F14" s="60"/>
      <c r="G14" s="35" t="s">
        <v>33</v>
      </c>
      <c r="H14" s="51">
        <f t="shared" si="2"/>
        <v>1</v>
      </c>
      <c r="I14" s="57" t="s">
        <v>25</v>
      </c>
      <c r="J14" s="58" t="s">
        <v>33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12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39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Spain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71" t="s">
        <v>12</v>
      </c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4" t="s">
        <v>12</v>
      </c>
      <c r="E17" s="63"/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12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4" t="s">
        <v>12</v>
      </c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Spain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Portugal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9" t="s">
        <v>12</v>
      </c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Portugal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62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58</v>
      </c>
      <c r="K33" s="37"/>
      <c r="L33" s="38" t="s">
        <v>91</v>
      </c>
      <c r="M33" s="54" t="str">
        <f>J48</f>
        <v>Belgium</v>
      </c>
      <c r="N33" s="55" t="str">
        <f>J40</f>
        <v>Germany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12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65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71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4" t="s">
        <v>12</v>
      </c>
      <c r="F44" s="60"/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160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4" t="s">
        <v>12</v>
      </c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161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79" t="s">
        <v>12</v>
      </c>
      <c r="C58" s="48"/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4" t="s">
        <v>12</v>
      </c>
      <c r="E59" s="63"/>
      <c r="F59" s="60"/>
      <c r="G59" s="35" t="s">
        <v>93</v>
      </c>
      <c r="H59" s="51">
        <f t="shared" si="7"/>
        <v>1</v>
      </c>
      <c r="I59" s="57" t="s">
        <v>25</v>
      </c>
      <c r="J59" s="58" t="s">
        <v>98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59" t="s">
        <v>12</v>
      </c>
      <c r="C60" s="63"/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93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12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12</v>
      </c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162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71" t="s">
        <v>12</v>
      </c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163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164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165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166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167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42" t="s">
        <v>168</v>
      </c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101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9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71" t="s">
        <v>12</v>
      </c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1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59"/>
      <c r="R6" s="71" t="s">
        <v>147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4"/>
      <c r="D7" s="63"/>
      <c r="E7" s="64" t="s">
        <v>12</v>
      </c>
      <c r="F7" s="71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 t="s">
        <v>12</v>
      </c>
      <c r="C14" s="63"/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147</v>
      </c>
      <c r="N14" s="71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4" t="s">
        <v>12</v>
      </c>
      <c r="E16" s="63"/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59"/>
      <c r="R16" s="71" t="s">
        <v>147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147</v>
      </c>
      <c r="Z16" s="71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4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4" t="s">
        <v>12</v>
      </c>
      <c r="E25" s="63"/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Belgium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/>
      <c r="F26" s="71" t="s">
        <v>12</v>
      </c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59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62"/>
      <c r="Z26" s="71" t="s">
        <v>12</v>
      </c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9" t="s">
        <v>12</v>
      </c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147</v>
      </c>
      <c r="V31" s="71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4" t="s">
        <v>12</v>
      </c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4" t="s">
        <v>12</v>
      </c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4" t="s">
        <v>12</v>
      </c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4" t="s">
        <v>12</v>
      </c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4" t="s">
        <v>12</v>
      </c>
      <c r="E43" s="63"/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4" t="s">
        <v>12</v>
      </c>
      <c r="F44" s="60"/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169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71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170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79" t="s">
        <v>12</v>
      </c>
      <c r="C58" s="48"/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4" t="s">
        <v>12</v>
      </c>
      <c r="E59" s="64"/>
      <c r="F59" s="60"/>
      <c r="G59" s="35" t="s">
        <v>93</v>
      </c>
      <c r="H59" s="51">
        <f t="shared" si="7"/>
        <v>1</v>
      </c>
      <c r="I59" s="57" t="s">
        <v>25</v>
      </c>
      <c r="J59" s="58" t="s">
        <v>93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109</v>
      </c>
      <c r="K68" s="37"/>
      <c r="L68" s="38">
        <v>4.0</v>
      </c>
      <c r="M68" s="99" t="s">
        <v>171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/>
      <c r="D69" s="64" t="s">
        <v>147</v>
      </c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172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173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174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175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176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9" t="s">
        <v>12</v>
      </c>
      <c r="E3" s="48"/>
      <c r="F3" s="50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 t="s">
        <v>12</v>
      </c>
      <c r="V11" s="60"/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12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Argentina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127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Argentina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12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Belgium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59" t="s">
        <v>12</v>
      </c>
      <c r="C24" s="63"/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Brazil</v>
      </c>
      <c r="Z25" s="66" t="str">
        <f>IF($V31="x",$U30,IF($U31="x",$V30,0))</f>
        <v>Spain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Spain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4" t="s">
        <v>12</v>
      </c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Crotia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62"/>
      <c r="N34" s="71" t="s">
        <v>12</v>
      </c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Spain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Serbia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12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88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177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78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4" t="s">
        <v>12</v>
      </c>
      <c r="D52" s="63"/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178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93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95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4" t="s">
        <v>12</v>
      </c>
      <c r="D61" s="63"/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109</v>
      </c>
      <c r="K68" s="37"/>
      <c r="L68" s="38">
        <v>4.0</v>
      </c>
      <c r="M68" s="99" t="s">
        <v>179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71" t="s">
        <v>12</v>
      </c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180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181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182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183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184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185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186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187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188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101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101" t="s">
        <v>12</v>
      </c>
      <c r="G4" s="128" t="s">
        <v>15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71" t="s">
        <v>12</v>
      </c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59" t="s">
        <v>12</v>
      </c>
      <c r="C6" s="63"/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4"/>
      <c r="F7" s="71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/>
      <c r="C12" s="49" t="s">
        <v>12</v>
      </c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33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12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35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Spain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4" t="s">
        <v>12</v>
      </c>
      <c r="E17" s="63"/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Mexico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12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48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53</v>
      </c>
      <c r="K23" s="37"/>
      <c r="L23" s="38" t="s">
        <v>66</v>
      </c>
      <c r="M23" s="54" t="str">
        <f>J39</f>
        <v>Spain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4" t="s">
        <v>12</v>
      </c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4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Belgium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62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4"/>
      <c r="F33" s="60"/>
      <c r="G33" s="35" t="s">
        <v>61</v>
      </c>
      <c r="H33" s="51">
        <f t="shared" si="4"/>
        <v>1</v>
      </c>
      <c r="I33" s="69" t="s">
        <v>28</v>
      </c>
      <c r="J33" s="70" t="s">
        <v>58</v>
      </c>
      <c r="K33" s="37"/>
      <c r="L33" s="38" t="s">
        <v>91</v>
      </c>
      <c r="M33" s="54" t="str">
        <f>J48</f>
        <v>Belgium</v>
      </c>
      <c r="N33" s="55" t="str">
        <f>J40</f>
        <v>Germany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71" t="s">
        <v>12</v>
      </c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12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65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71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4" t="s">
        <v>12</v>
      </c>
      <c r="D42" s="63"/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71" t="s">
        <v>12</v>
      </c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189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9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4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190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4" t="s">
        <v>12</v>
      </c>
      <c r="E59" s="63"/>
      <c r="F59" s="60"/>
      <c r="G59" s="35" t="s">
        <v>93</v>
      </c>
      <c r="H59" s="51">
        <f t="shared" si="7"/>
        <v>1</v>
      </c>
      <c r="I59" s="57" t="s">
        <v>25</v>
      </c>
      <c r="J59" s="58" t="s">
        <v>98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93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71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12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109</v>
      </c>
      <c r="K68" s="37"/>
      <c r="L68" s="38">
        <v>4.0</v>
      </c>
      <c r="M68" s="99" t="s">
        <v>191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71" t="s">
        <v>12</v>
      </c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71" t="s">
        <v>12</v>
      </c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192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101" t="s">
        <v>12</v>
      </c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71" t="s">
        <v>12</v>
      </c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 t="s">
        <v>12</v>
      </c>
      <c r="C14" s="64"/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Spain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4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4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Spain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59" t="s">
        <v>12</v>
      </c>
      <c r="C24" s="64"/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71" t="s">
        <v>12</v>
      </c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Portugal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Portugal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4" t="s">
        <v>12</v>
      </c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Germany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71" t="s">
        <v>12</v>
      </c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62"/>
      <c r="N34" s="71" t="s">
        <v>12</v>
      </c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129" t="s">
        <v>193</v>
      </c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Germany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147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65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71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59" t="s">
        <v>12</v>
      </c>
      <c r="C41" s="63"/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4" t="s">
        <v>12</v>
      </c>
      <c r="D42" s="63"/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71" t="s">
        <v>12</v>
      </c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101" t="s">
        <v>12</v>
      </c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194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AE52" s="130" t="s">
        <v>195</v>
      </c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196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79" t="s">
        <v>12</v>
      </c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79" t="s">
        <v>12</v>
      </c>
      <c r="C58" s="48"/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93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4" t="s">
        <v>12</v>
      </c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79" t="s">
        <v>12</v>
      </c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12</v>
      </c>
      <c r="E68" s="64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197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71" t="s">
        <v>12</v>
      </c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198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2014-05-13T08:36:10Z</dcterms:created>
  <dc:creator>Bord Gais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SharedWithUsers">
    <vt:lpstr>FS Consulting Members</vt:lpstr>
  </property>
  <property fmtid="{D5CDD505-2E9C-101B-9397-08002B2CF9AE}" pid="3" name="SharedWithUsers">
    <vt:lpstr>7;#FS Consulting Members</vt:lpstr>
  </property>
  <property fmtid="{D5CDD505-2E9C-101B-9397-08002B2CF9AE}" pid="4" name="lcf76f155ced4ddcb4097134ff3c332f">
    <vt:lpstr/>
  </property>
  <property fmtid="{D5CDD505-2E9C-101B-9397-08002B2CF9AE}" pid="5" name="TaxCatchAll">
    <vt:lpstr/>
  </property>
</Properties>
</file>